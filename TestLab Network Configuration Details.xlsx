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FSO\Homeone-TestLab\"/>
    </mc:Choice>
  </mc:AlternateContent>
  <xr:revisionPtr revIDLastSave="0" documentId="13_ncr:1_{85E9C670-7478-42D9-9AD1-5EC71AD916A1}" xr6:coauthVersionLast="47" xr6:coauthVersionMax="47" xr10:uidLastSave="{00000000-0000-0000-0000-000000000000}"/>
  <bookViews>
    <workbookView xWindow="38805" yWindow="3060" windowWidth="28770" windowHeight="15345" activeTab="2" xr2:uid="{00000000-000D-0000-FFFF-FFFF00000000}"/>
  </bookViews>
  <sheets>
    <sheet name="Network Ovierview &amp; DHCP" sheetId="2" r:id="rId1"/>
    <sheet name="Node Details" sheetId="3" r:id="rId2"/>
    <sheet name="Lab DNS &amp; IP Assignments" sheetId="4" r:id="rId3"/>
    <sheet name="Core Network Services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D21" i="4"/>
  <c r="E22" i="4"/>
</calcChain>
</file>

<file path=xl/sharedStrings.xml><?xml version="1.0" encoding="utf-8"?>
<sst xmlns="http://schemas.openxmlformats.org/spreadsheetml/2006/main" count="99" uniqueCount="93">
  <si>
    <t>Testlab Network:</t>
  </si>
  <si>
    <t>10.0.2.0/24</t>
  </si>
  <si>
    <t>Homeone Test Lab</t>
  </si>
  <si>
    <t>IP Address Assignments</t>
  </si>
  <si>
    <t>Network Node</t>
  </si>
  <si>
    <t>IP Address or Range</t>
  </si>
  <si>
    <t>Test Lab Router</t>
  </si>
  <si>
    <t>10.0.2.1</t>
  </si>
  <si>
    <t>Cisco SGE2000 24-Port Switch</t>
  </si>
  <si>
    <t>NebulonT-SV (Tyan12)</t>
  </si>
  <si>
    <t>NebulonT-BMC (Tyan12)</t>
  </si>
  <si>
    <t>10.0.2.155</t>
  </si>
  <si>
    <t>Switch Connections</t>
  </si>
  <si>
    <t>Total Ports Occupied</t>
  </si>
  <si>
    <t>Total Plugs Occupied</t>
  </si>
  <si>
    <t>Power Plugs Required</t>
  </si>
  <si>
    <t>10.0.2.168</t>
  </si>
  <si>
    <t>NewEnsign-WS</t>
  </si>
  <si>
    <t>IP Range By Color</t>
  </si>
  <si>
    <t>10.0.2.91 - 10.0.2.99</t>
  </si>
  <si>
    <t>10.0.2.2 - 10.0.2.20</t>
  </si>
  <si>
    <t>10.0.2.100 - 10.0.2.119</t>
  </si>
  <si>
    <t>Focus for This IP Range is:</t>
  </si>
  <si>
    <t>Router</t>
  </si>
  <si>
    <t>Guest DHCP Clients</t>
  </si>
  <si>
    <t>Reserved Address Space</t>
  </si>
  <si>
    <t>Non-Router Lab Network Devices</t>
  </si>
  <si>
    <t>Virtual Servers/WS (Static IP Provided by DHCP Reservation)</t>
  </si>
  <si>
    <t>Core Physical Servers/WS (Static IP Provided by DHCP Reservation)</t>
  </si>
  <si>
    <t>Physical Server Remote Management/IPMI Access</t>
  </si>
  <si>
    <t>10.0.2.100</t>
  </si>
  <si>
    <t>Festa 18-Port POE Switch</t>
  </si>
  <si>
    <t>10.0.2.253</t>
  </si>
  <si>
    <t>10.0.2.252</t>
  </si>
  <si>
    <t>10.0.2.254</t>
  </si>
  <si>
    <t>10.0.2.91</t>
  </si>
  <si>
    <t>10.0.2.102 - 10.0.2.104</t>
  </si>
  <si>
    <t>NebulonP-WSVM</t>
  </si>
  <si>
    <t>Remnux-WSVM</t>
  </si>
  <si>
    <t>WinTest-WSVM</t>
  </si>
  <si>
    <t>NebulonCon-SVVM</t>
  </si>
  <si>
    <t>10.0.2.180</t>
  </si>
  <si>
    <t>tlosint-WSVM</t>
  </si>
  <si>
    <t>10.0.2.181</t>
  </si>
  <si>
    <t>NebulonK-WSVM</t>
  </si>
  <si>
    <t>10.0.2.120</t>
  </si>
  <si>
    <t>NebulonD-SVVM</t>
  </si>
  <si>
    <t>10.0.2.182</t>
  </si>
  <si>
    <t>10.0.2.21 - 10.0.2.90</t>
  </si>
  <si>
    <t>10.0.2.120 - 10.0.2.240</t>
  </si>
  <si>
    <t>10.0.2.241 - 10.0.2.254</t>
  </si>
  <si>
    <t>&lt;- Total IPs in Range</t>
  </si>
  <si>
    <t># of Hosts in IP Range</t>
  </si>
  <si>
    <t>Node's DNS Name</t>
  </si>
  <si>
    <t>Node's Focal Points or Purpose</t>
  </si>
  <si>
    <t>Node's Operating System</t>
  </si>
  <si>
    <t>Testing and/or Temporary Nodes</t>
  </si>
  <si>
    <t>Permanent Nodes</t>
  </si>
  <si>
    <t>(Physical/Virtual)</t>
  </si>
  <si>
    <t>Node's Purpose and/or Focal Points</t>
  </si>
  <si>
    <t>Test Lab Network Node Descriptions</t>
  </si>
  <si>
    <t>Network Overview</t>
  </si>
  <si>
    <t>Network Overview &amp;</t>
  </si>
  <si>
    <t>DHCP Scope Configuration</t>
  </si>
  <si>
    <t>Network Feature</t>
  </si>
  <si>
    <t>DHCP Scope Organization</t>
  </si>
  <si>
    <t>on the Test Lab's Primary Subnet</t>
  </si>
  <si>
    <t>Lab's Primary Subnet:</t>
  </si>
  <si>
    <t>Varible's Value</t>
  </si>
  <si>
    <t>Relevent Notes</t>
  </si>
  <si>
    <t>IP Version</t>
  </si>
  <si>
    <t>Main Lab Subnets</t>
  </si>
  <si>
    <t>Network Address Bits</t>
  </si>
  <si>
    <t># of Nodes/Subnet</t>
  </si>
  <si>
    <t>Auxiliary Subnets</t>
  </si>
  <si>
    <t>For testing only…</t>
  </si>
  <si>
    <t>(Including 4-Port Gateway)</t>
  </si>
  <si>
    <t>Switch Ports/Subnet</t>
  </si>
  <si>
    <t>Switchs/Subnet</t>
  </si>
  <si>
    <t>POE Ports/Subnet</t>
  </si>
  <si>
    <t>Subnet Speed</t>
  </si>
  <si>
    <t>1Gb</t>
  </si>
  <si>
    <t>Bonded Connections</t>
  </si>
  <si>
    <t>Main Nodes/Servers</t>
  </si>
  <si>
    <t>Bonded from 2 1Gb Links</t>
  </si>
  <si>
    <t>10.0.2.240</t>
  </si>
  <si>
    <t>Core Network Services</t>
  </si>
  <si>
    <t>Provided by Node</t>
  </si>
  <si>
    <t>Provided on Port #</t>
  </si>
  <si>
    <t>Network Service</t>
  </si>
  <si>
    <t>NebulonW-SVVM</t>
  </si>
  <si>
    <t>10.0.2.156</t>
  </si>
  <si>
    <t>RPI-Hole-SV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</si>
</sst>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7A0000"/>
      <name val="Aptos Narrow"/>
      <family val="2"/>
      <scheme val="minor"/>
    </font>
    <font>
      <b/>
      <i/>
      <sz val="12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6" tint="-0.2499465926084170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i/>
      <sz val="12"/>
      <color theme="9" tint="-0.499984740745262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gradientFill type="path" left="0.5" right="0.5" top="0.5" bottom="0.5">
        <stop position="0">
          <color theme="7" tint="0.59999389629810485"/>
        </stop>
        <stop position="1">
          <color theme="8" tint="0.80001220740379042"/>
        </stop>
      </gradientFill>
    </fill>
    <fill>
      <gradientFill degree="270">
        <stop position="0">
          <color theme="7" tint="0.59999389629810485"/>
        </stop>
        <stop position="1">
          <color theme="8" tint="0.80001220740379042"/>
        </stop>
      </gradientFill>
    </fill>
    <fill>
      <gradientFill degree="90">
        <stop position="0">
          <color theme="7" tint="0.59999389629810485"/>
        </stop>
        <stop position="1">
          <color theme="8" tint="0.59999389629810485"/>
        </stop>
      </gradientFill>
    </fill>
    <fill>
      <gradientFill type="path" left="0.5" right="0.5" top="0.5" bottom="0.5">
        <stop position="0">
          <color theme="4" tint="0.80001220740379042"/>
        </stop>
        <stop position="1">
          <color theme="7"/>
        </stop>
      </gradient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auto="1"/>
      </patternFill>
    </fill>
  </fills>
  <borders count="3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3" borderId="8" xfId="0" applyFont="1" applyFill="1" applyBorder="1"/>
    <xf numFmtId="0" fontId="2" fillId="3" borderId="9" xfId="0" applyFont="1" applyFill="1" applyBorder="1"/>
    <xf numFmtId="0" fontId="0" fillId="4" borderId="11" xfId="0" applyFill="1" applyBorder="1"/>
    <xf numFmtId="0" fontId="0" fillId="5" borderId="11" xfId="0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2" xfId="0" applyFill="1" applyBorder="1"/>
    <xf numFmtId="0" fontId="0" fillId="9" borderId="11" xfId="0" applyFill="1" applyBorder="1"/>
    <xf numFmtId="0" fontId="0" fillId="6" borderId="11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4" xfId="0" applyFill="1" applyBorder="1"/>
    <xf numFmtId="0" fontId="0" fillId="9" borderId="6" xfId="0" applyFill="1" applyBorder="1"/>
    <xf numFmtId="0" fontId="0" fillId="9" borderId="0" xfId="0" applyFill="1"/>
    <xf numFmtId="0" fontId="0" fillId="9" borderId="7" xfId="0" applyFill="1" applyBorder="1"/>
    <xf numFmtId="0" fontId="0" fillId="10" borderId="6" xfId="0" applyFill="1" applyBorder="1"/>
    <xf numFmtId="0" fontId="0" fillId="10" borderId="0" xfId="0" applyFill="1"/>
    <xf numFmtId="0" fontId="0" fillId="10" borderId="7" xfId="0" applyFill="1" applyBorder="1"/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1" fillId="11" borderId="3" xfId="0" applyFont="1" applyFill="1" applyBorder="1"/>
    <xf numFmtId="0" fontId="1" fillId="11" borderId="4" xfId="0" applyFont="1" applyFill="1" applyBorder="1"/>
    <xf numFmtId="0" fontId="3" fillId="12" borderId="1" xfId="0" applyFont="1" applyFill="1" applyBorder="1"/>
    <xf numFmtId="0" fontId="4" fillId="13" borderId="2" xfId="0" applyFont="1" applyFill="1" applyBorder="1" applyAlignment="1">
      <alignment horizontal="center"/>
    </xf>
    <xf numFmtId="0" fontId="0" fillId="7" borderId="11" xfId="0" applyFill="1" applyBorder="1"/>
    <xf numFmtId="0" fontId="0" fillId="14" borderId="18" xfId="0" applyFill="1" applyBorder="1"/>
    <xf numFmtId="49" fontId="1" fillId="15" borderId="19" xfId="0" applyNumberFormat="1" applyFont="1" applyFill="1" applyBorder="1" applyAlignment="1">
      <alignment horizontal="center"/>
    </xf>
    <xf numFmtId="49" fontId="1" fillId="15" borderId="20" xfId="0" applyNumberFormat="1" applyFont="1" applyFill="1" applyBorder="1" applyAlignment="1">
      <alignment horizontal="center"/>
    </xf>
    <xf numFmtId="49" fontId="1" fillId="15" borderId="21" xfId="0" applyNumberFormat="1" applyFont="1" applyFill="1" applyBorder="1" applyAlignment="1">
      <alignment horizontal="center"/>
    </xf>
    <xf numFmtId="49" fontId="5" fillId="15" borderId="1" xfId="0" applyNumberFormat="1" applyFont="1" applyFill="1" applyBorder="1" applyAlignment="1">
      <alignment horizontal="center"/>
    </xf>
    <xf numFmtId="0" fontId="0" fillId="15" borderId="22" xfId="0" applyFill="1" applyBorder="1" applyAlignment="1">
      <alignment shrinkToFit="1"/>
    </xf>
    <xf numFmtId="0" fontId="0" fillId="15" borderId="23" xfId="0" applyFill="1" applyBorder="1" applyAlignment="1">
      <alignment shrinkToFit="1"/>
    </xf>
    <xf numFmtId="0" fontId="0" fillId="15" borderId="24" xfId="0" applyFill="1" applyBorder="1" applyAlignment="1">
      <alignment shrinkToFit="1"/>
    </xf>
    <xf numFmtId="49" fontId="6" fillId="16" borderId="25" xfId="0" applyNumberFormat="1" applyFont="1" applyFill="1" applyBorder="1" applyAlignment="1">
      <alignment horizontal="center"/>
    </xf>
    <xf numFmtId="49" fontId="7" fillId="16" borderId="8" xfId="0" applyNumberFormat="1" applyFont="1" applyFill="1" applyBorder="1" applyAlignment="1">
      <alignment horizontal="center"/>
    </xf>
    <xf numFmtId="49" fontId="7" fillId="16" borderId="26" xfId="0" applyNumberFormat="1" applyFont="1" applyFill="1" applyBorder="1" applyAlignment="1">
      <alignment horizontal="center"/>
    </xf>
    <xf numFmtId="49" fontId="7" fillId="16" borderId="9" xfId="0" applyNumberFormat="1" applyFont="1" applyFill="1" applyBorder="1" applyAlignment="1">
      <alignment horizontal="center"/>
    </xf>
    <xf numFmtId="49" fontId="8" fillId="16" borderId="27" xfId="0" applyNumberFormat="1" applyFont="1" applyFill="1" applyBorder="1" applyAlignment="1">
      <alignment horizontal="right"/>
    </xf>
    <xf numFmtId="49" fontId="7" fillId="2" borderId="25" xfId="0" applyNumberFormat="1" applyFont="1" applyFill="1" applyBorder="1" applyAlignment="1">
      <alignment horizontal="center"/>
    </xf>
    <xf numFmtId="49" fontId="9" fillId="16" borderId="28" xfId="0" applyNumberFormat="1" applyFont="1" applyFill="1" applyBorder="1" applyAlignment="1">
      <alignment horizontal="left"/>
    </xf>
    <xf numFmtId="49" fontId="9" fillId="16" borderId="1" xfId="0" applyNumberFormat="1" applyFont="1" applyFill="1" applyBorder="1" applyAlignment="1">
      <alignment horizontal="center"/>
    </xf>
    <xf numFmtId="49" fontId="9" fillId="16" borderId="24" xfId="0" applyNumberFormat="1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10" fillId="2" borderId="29" xfId="0" applyNumberFormat="1" applyFont="1" applyFill="1" applyBorder="1"/>
    <xf numFmtId="1" fontId="10" fillId="2" borderId="30" xfId="0" applyNumberFormat="1" applyFont="1" applyFill="1" applyBorder="1"/>
    <xf numFmtId="1" fontId="10" fillId="2" borderId="31" xfId="0" applyNumberFormat="1" applyFont="1" applyFill="1" applyBorder="1"/>
    <xf numFmtId="0" fontId="11" fillId="2" borderId="1" xfId="0" applyFont="1" applyFill="1" applyBorder="1"/>
    <xf numFmtId="0" fontId="0" fillId="7" borderId="10" xfId="0" applyFill="1" applyBorder="1"/>
    <xf numFmtId="0" fontId="0" fillId="6" borderId="10" xfId="0" applyFill="1" applyBorder="1"/>
    <xf numFmtId="0" fontId="0" fillId="2" borderId="10" xfId="0" applyFill="1" applyBorder="1"/>
    <xf numFmtId="0" fontId="0" fillId="9" borderId="10" xfId="0" applyFill="1" applyBorder="1"/>
    <xf numFmtId="0" fontId="0" fillId="4" borderId="10" xfId="0" applyFill="1" applyBorder="1"/>
    <xf numFmtId="0" fontId="0" fillId="5" borderId="10" xfId="0" applyFill="1" applyBorder="1"/>
    <xf numFmtId="0" fontId="0" fillId="8" borderId="10" xfId="0" applyFill="1" applyBorder="1"/>
    <xf numFmtId="0" fontId="0" fillId="2" borderId="1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2" xfId="0" applyFill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0000"/>
      <color rgb="FFFF3F3F"/>
      <color rgb="FFFF6161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5761-94DF-4000-BA36-A56D05134533}">
  <dimension ref="C1:I17"/>
  <sheetViews>
    <sheetView workbookViewId="0">
      <selection activeCell="G23" sqref="G23"/>
    </sheetView>
  </sheetViews>
  <sheetFormatPr defaultRowHeight="15" x14ac:dyDescent="0.25"/>
  <cols>
    <col min="1" max="1" width="8.85546875" customWidth="1"/>
    <col min="2" max="2" width="10.85546875" customWidth="1"/>
    <col min="3" max="3" width="19.140625" customWidth="1"/>
    <col min="4" max="4" width="19.42578125" customWidth="1"/>
    <col min="5" max="5" width="25.140625" customWidth="1"/>
    <col min="6" max="6" width="18.28515625" customWidth="1"/>
    <col min="7" max="7" width="23.5703125" customWidth="1"/>
    <col min="8" max="8" width="30.42578125" customWidth="1"/>
    <col min="9" max="9" width="61.140625" customWidth="1"/>
  </cols>
  <sheetData>
    <row r="1" spans="3:9" ht="15.75" thickBot="1" x14ac:dyDescent="0.3"/>
    <row r="2" spans="3:9" ht="16.5" thickTop="1" thickBot="1" x14ac:dyDescent="0.3">
      <c r="C2" s="42" t="s">
        <v>2</v>
      </c>
      <c r="D2" s="43" t="s">
        <v>62</v>
      </c>
      <c r="E2" s="44" t="s">
        <v>63</v>
      </c>
    </row>
    <row r="3" spans="3:9" ht="15.75" thickTop="1" x14ac:dyDescent="0.25"/>
    <row r="4" spans="3:9" ht="15.75" thickBot="1" x14ac:dyDescent="0.3"/>
    <row r="5" spans="3:9" ht="16.5" thickTop="1" thickBot="1" x14ac:dyDescent="0.3">
      <c r="D5" s="46" t="s">
        <v>61</v>
      </c>
      <c r="G5" s="42" t="s">
        <v>65</v>
      </c>
      <c r="H5" s="44" t="s">
        <v>66</v>
      </c>
    </row>
    <row r="6" spans="3:9" ht="16.5" thickTop="1" thickBot="1" x14ac:dyDescent="0.3">
      <c r="C6" s="48" t="s">
        <v>64</v>
      </c>
      <c r="D6" s="49" t="s">
        <v>68</v>
      </c>
      <c r="E6" s="48" t="s">
        <v>69</v>
      </c>
      <c r="G6" s="45" t="s">
        <v>67</v>
      </c>
      <c r="H6" s="47" t="s">
        <v>1</v>
      </c>
    </row>
    <row r="7" spans="3:9" ht="16.5" thickTop="1" thickBot="1" x14ac:dyDescent="0.3">
      <c r="C7" s="64" t="s">
        <v>70</v>
      </c>
      <c r="D7" s="65">
        <v>4</v>
      </c>
      <c r="E7" s="66"/>
      <c r="G7" s="51" t="s">
        <v>52</v>
      </c>
      <c r="H7" s="50" t="s">
        <v>18</v>
      </c>
      <c r="I7" s="50" t="s">
        <v>22</v>
      </c>
    </row>
    <row r="8" spans="3:9" ht="16.5" thickTop="1" thickBot="1" x14ac:dyDescent="0.3">
      <c r="C8" s="64" t="s">
        <v>71</v>
      </c>
      <c r="D8" s="65">
        <v>1</v>
      </c>
      <c r="E8" s="66"/>
      <c r="G8" s="52">
        <v>1</v>
      </c>
      <c r="H8" s="56" t="s">
        <v>7</v>
      </c>
      <c r="I8" s="32" t="s">
        <v>23</v>
      </c>
    </row>
    <row r="9" spans="3:9" ht="16.5" thickTop="1" thickBot="1" x14ac:dyDescent="0.3">
      <c r="C9" s="67" t="s">
        <v>72</v>
      </c>
      <c r="D9" s="65">
        <v>24</v>
      </c>
      <c r="E9" s="66"/>
      <c r="G9" s="53">
        <v>18</v>
      </c>
      <c r="H9" s="57" t="s">
        <v>20</v>
      </c>
      <c r="I9" s="15" t="s">
        <v>25</v>
      </c>
    </row>
    <row r="10" spans="3:9" ht="16.5" thickTop="1" thickBot="1" x14ac:dyDescent="0.3">
      <c r="C10" s="64" t="s">
        <v>73</v>
      </c>
      <c r="D10" s="65">
        <v>254</v>
      </c>
      <c r="E10" s="66"/>
      <c r="G10" s="53">
        <v>69</v>
      </c>
      <c r="H10" s="58" t="s">
        <v>48</v>
      </c>
      <c r="I10" s="63" t="s">
        <v>24</v>
      </c>
    </row>
    <row r="11" spans="3:9" ht="16.5" thickTop="1" thickBot="1" x14ac:dyDescent="0.3">
      <c r="C11" s="64" t="s">
        <v>78</v>
      </c>
      <c r="D11" s="65">
        <v>3</v>
      </c>
      <c r="E11" s="66" t="s">
        <v>76</v>
      </c>
      <c r="G11" s="53">
        <v>8</v>
      </c>
      <c r="H11" s="59" t="s">
        <v>19</v>
      </c>
      <c r="I11" s="14" t="s">
        <v>29</v>
      </c>
    </row>
    <row r="12" spans="3:9" ht="16.5" thickTop="1" thickBot="1" x14ac:dyDescent="0.3">
      <c r="C12" s="64" t="s">
        <v>77</v>
      </c>
      <c r="D12" s="65">
        <v>46</v>
      </c>
      <c r="E12" s="66"/>
      <c r="G12" s="53">
        <v>19</v>
      </c>
      <c r="H12" s="60" t="s">
        <v>21</v>
      </c>
      <c r="I12" s="3" t="s">
        <v>28</v>
      </c>
    </row>
    <row r="13" spans="3:9" ht="16.5" thickTop="1" thickBot="1" x14ac:dyDescent="0.3">
      <c r="C13" s="64" t="s">
        <v>79</v>
      </c>
      <c r="D13" s="65">
        <v>18</v>
      </c>
      <c r="E13" s="66"/>
      <c r="G13" s="53">
        <v>120</v>
      </c>
      <c r="H13" s="61" t="s">
        <v>49</v>
      </c>
      <c r="I13" s="4" t="s">
        <v>27</v>
      </c>
    </row>
    <row r="14" spans="3:9" ht="16.5" thickTop="1" thickBot="1" x14ac:dyDescent="0.3">
      <c r="C14" s="64" t="s">
        <v>80</v>
      </c>
      <c r="D14" s="65" t="s">
        <v>81</v>
      </c>
      <c r="E14" s="66"/>
      <c r="G14" s="54">
        <v>13</v>
      </c>
      <c r="H14" s="62" t="s">
        <v>50</v>
      </c>
      <c r="I14" s="13" t="s">
        <v>26</v>
      </c>
    </row>
    <row r="15" spans="3:9" ht="17.25" thickTop="1" thickBot="1" x14ac:dyDescent="0.3">
      <c r="C15" s="64" t="s">
        <v>82</v>
      </c>
      <c r="D15" s="65" t="s">
        <v>83</v>
      </c>
      <c r="E15" s="66" t="s">
        <v>84</v>
      </c>
      <c r="G15" s="55">
        <f>SUM(G8:G14)</f>
        <v>248</v>
      </c>
      <c r="H15" s="33" t="s">
        <v>51</v>
      </c>
    </row>
    <row r="16" spans="3:9" ht="16.5" thickTop="1" thickBot="1" x14ac:dyDescent="0.3">
      <c r="C16" s="64" t="s">
        <v>74</v>
      </c>
      <c r="D16" s="65">
        <v>1</v>
      </c>
      <c r="E16" s="66" t="s">
        <v>75</v>
      </c>
    </row>
    <row r="17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8CAD-CC25-408D-B297-7CA78622B82C}">
  <dimension ref="B1:E37"/>
  <sheetViews>
    <sheetView workbookViewId="0">
      <selection activeCell="D2" sqref="D2"/>
    </sheetView>
  </sheetViews>
  <sheetFormatPr defaultRowHeight="15" x14ac:dyDescent="0.25"/>
  <cols>
    <col min="1" max="1" width="11.85546875" customWidth="1"/>
    <col min="2" max="2" width="19.42578125" customWidth="1"/>
    <col min="3" max="3" width="30.42578125" customWidth="1"/>
    <col min="4" max="4" width="43.5703125" customWidth="1"/>
    <col min="5" max="5" width="115.85546875" customWidth="1"/>
  </cols>
  <sheetData>
    <row r="1" spans="2:5" ht="15.75" thickBot="1" x14ac:dyDescent="0.3"/>
    <row r="2" spans="2:5" ht="17.25" thickTop="1" thickBot="1" x14ac:dyDescent="0.3">
      <c r="D2" s="41" t="s">
        <v>60</v>
      </c>
    </row>
    <row r="3" spans="2:5" ht="16.5" thickTop="1" thickBot="1" x14ac:dyDescent="0.3"/>
    <row r="4" spans="2:5" ht="16.5" thickTop="1" thickBot="1" x14ac:dyDescent="0.3">
      <c r="D4" s="37" t="s">
        <v>57</v>
      </c>
    </row>
    <row r="5" spans="2:5" ht="16.5" thickTop="1" thickBot="1" x14ac:dyDescent="0.3">
      <c r="B5" s="34" t="s">
        <v>58</v>
      </c>
      <c r="C5" s="35" t="s">
        <v>53</v>
      </c>
      <c r="D5" s="35" t="s">
        <v>55</v>
      </c>
      <c r="E5" s="36" t="s">
        <v>54</v>
      </c>
    </row>
    <row r="6" spans="2:5" ht="15.75" thickTop="1" x14ac:dyDescent="0.25">
      <c r="B6" s="38"/>
      <c r="C6" s="38"/>
      <c r="D6" s="38"/>
      <c r="E6" s="38"/>
    </row>
    <row r="7" spans="2:5" x14ac:dyDescent="0.25">
      <c r="B7" s="39"/>
      <c r="C7" s="39"/>
      <c r="D7" s="39"/>
      <c r="E7" s="39"/>
    </row>
    <row r="8" spans="2:5" x14ac:dyDescent="0.25">
      <c r="B8" s="39"/>
      <c r="C8" s="39"/>
      <c r="D8" s="39"/>
      <c r="E8" s="39"/>
    </row>
    <row r="9" spans="2:5" x14ac:dyDescent="0.25">
      <c r="B9" s="39"/>
      <c r="C9" s="39"/>
      <c r="D9" s="39"/>
      <c r="E9" s="39"/>
    </row>
    <row r="10" spans="2:5" x14ac:dyDescent="0.25">
      <c r="B10" s="39"/>
      <c r="C10" s="39"/>
      <c r="D10" s="39"/>
      <c r="E10" s="39"/>
    </row>
    <row r="11" spans="2:5" x14ac:dyDescent="0.25">
      <c r="B11" s="39"/>
      <c r="C11" s="39"/>
      <c r="D11" s="39"/>
      <c r="E11" s="39"/>
    </row>
    <row r="12" spans="2:5" x14ac:dyDescent="0.25">
      <c r="B12" s="39"/>
      <c r="C12" s="39"/>
      <c r="D12" s="39"/>
      <c r="E12" s="39"/>
    </row>
    <row r="13" spans="2:5" x14ac:dyDescent="0.25">
      <c r="B13" s="39"/>
      <c r="C13" s="39"/>
      <c r="D13" s="39"/>
      <c r="E13" s="39"/>
    </row>
    <row r="14" spans="2:5" x14ac:dyDescent="0.25">
      <c r="B14" s="39"/>
      <c r="C14" s="39"/>
      <c r="D14" s="39"/>
      <c r="E14" s="39"/>
    </row>
    <row r="15" spans="2:5" x14ac:dyDescent="0.25">
      <c r="B15" s="39"/>
      <c r="C15" s="39"/>
      <c r="D15" s="39"/>
      <c r="E15" s="39"/>
    </row>
    <row r="16" spans="2:5" x14ac:dyDescent="0.25">
      <c r="B16" s="39"/>
      <c r="C16" s="39"/>
      <c r="D16" s="39"/>
      <c r="E16" s="39"/>
    </row>
    <row r="17" spans="2:5" x14ac:dyDescent="0.25">
      <c r="B17" s="39"/>
      <c r="C17" s="39"/>
      <c r="D17" s="39"/>
      <c r="E17" s="39"/>
    </row>
    <row r="18" spans="2:5" x14ac:dyDescent="0.25">
      <c r="B18" s="39"/>
      <c r="C18" s="39"/>
      <c r="D18" s="39"/>
      <c r="E18" s="39"/>
    </row>
    <row r="19" spans="2:5" ht="15.75" thickBot="1" x14ac:dyDescent="0.3">
      <c r="B19" s="40"/>
      <c r="C19" s="40"/>
      <c r="D19" s="40"/>
      <c r="E19" s="40"/>
    </row>
    <row r="20" spans="2:5" ht="16.5" thickTop="1" thickBot="1" x14ac:dyDescent="0.3"/>
    <row r="21" spans="2:5" ht="16.5" thickTop="1" thickBot="1" x14ac:dyDescent="0.3">
      <c r="D21" s="37" t="s">
        <v>56</v>
      </c>
    </row>
    <row r="22" spans="2:5" ht="16.5" thickTop="1" thickBot="1" x14ac:dyDescent="0.3">
      <c r="B22" s="34" t="s">
        <v>58</v>
      </c>
      <c r="C22" s="35" t="s">
        <v>53</v>
      </c>
      <c r="D22" s="35" t="s">
        <v>55</v>
      </c>
      <c r="E22" s="36" t="s">
        <v>59</v>
      </c>
    </row>
    <row r="23" spans="2:5" ht="15.75" thickTop="1" x14ac:dyDescent="0.25">
      <c r="B23" s="38"/>
      <c r="C23" s="38"/>
      <c r="D23" s="38"/>
      <c r="E23" s="38"/>
    </row>
    <row r="24" spans="2:5" x14ac:dyDescent="0.25">
      <c r="B24" s="39"/>
      <c r="C24" s="39"/>
      <c r="D24" s="39"/>
      <c r="E24" s="39"/>
    </row>
    <row r="25" spans="2:5" x14ac:dyDescent="0.25">
      <c r="B25" s="39"/>
      <c r="C25" s="39"/>
      <c r="D25" s="39"/>
      <c r="E25" s="39"/>
    </row>
    <row r="26" spans="2:5" x14ac:dyDescent="0.25">
      <c r="B26" s="39"/>
      <c r="C26" s="39"/>
      <c r="D26" s="39"/>
      <c r="E26" s="39"/>
    </row>
    <row r="27" spans="2:5" x14ac:dyDescent="0.25">
      <c r="B27" s="39"/>
      <c r="C27" s="39"/>
      <c r="D27" s="39"/>
      <c r="E27" s="39"/>
    </row>
    <row r="28" spans="2:5" x14ac:dyDescent="0.25">
      <c r="B28" s="39"/>
      <c r="C28" s="39"/>
      <c r="D28" s="39"/>
      <c r="E28" s="39"/>
    </row>
    <row r="29" spans="2:5" x14ac:dyDescent="0.25">
      <c r="B29" s="39"/>
      <c r="C29" s="39"/>
      <c r="D29" s="39"/>
      <c r="E29" s="39"/>
    </row>
    <row r="30" spans="2:5" x14ac:dyDescent="0.25">
      <c r="B30" s="39"/>
      <c r="C30" s="39"/>
      <c r="D30" s="39"/>
      <c r="E30" s="39"/>
    </row>
    <row r="31" spans="2:5" x14ac:dyDescent="0.25">
      <c r="B31" s="39"/>
      <c r="C31" s="39"/>
      <c r="D31" s="39"/>
      <c r="E31" s="39"/>
    </row>
    <row r="32" spans="2:5" x14ac:dyDescent="0.25">
      <c r="B32" s="39"/>
      <c r="C32" s="39"/>
      <c r="D32" s="39"/>
      <c r="E32" s="39"/>
    </row>
    <row r="33" spans="2:5" x14ac:dyDescent="0.25">
      <c r="B33" s="39"/>
      <c r="C33" s="39"/>
      <c r="D33" s="39"/>
      <c r="E33" s="39"/>
    </row>
    <row r="34" spans="2:5" x14ac:dyDescent="0.25">
      <c r="B34" s="39"/>
      <c r="C34" s="39"/>
      <c r="D34" s="39"/>
      <c r="E34" s="39"/>
    </row>
    <row r="35" spans="2:5" x14ac:dyDescent="0.25">
      <c r="B35" s="39"/>
      <c r="C35" s="39"/>
      <c r="D35" s="39"/>
      <c r="E35" s="39"/>
    </row>
    <row r="36" spans="2:5" ht="15.75" thickBot="1" x14ac:dyDescent="0.3">
      <c r="B36" s="40"/>
      <c r="C36" s="40"/>
      <c r="D36" s="40"/>
      <c r="E36" s="40"/>
    </row>
    <row r="37" spans="2:5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99D3-5D72-450B-A081-DFA6BEAA292C}">
  <dimension ref="B2:E23"/>
  <sheetViews>
    <sheetView tabSelected="1" workbookViewId="0">
      <selection activeCell="B21" sqref="B21"/>
    </sheetView>
  </sheetViews>
  <sheetFormatPr defaultRowHeight="15" x14ac:dyDescent="0.25"/>
  <cols>
    <col min="2" max="2" width="28.28515625" customWidth="1"/>
    <col min="3" max="3" width="28.85546875" customWidth="1"/>
    <col min="4" max="4" width="31.140625" customWidth="1"/>
    <col min="5" max="5" width="28.42578125" customWidth="1"/>
  </cols>
  <sheetData>
    <row r="2" spans="2:5" ht="15.75" thickBot="1" x14ac:dyDescent="0.3"/>
    <row r="3" spans="2:5" ht="16.5" thickTop="1" thickBot="1" x14ac:dyDescent="0.3">
      <c r="B3" s="31" t="s">
        <v>2</v>
      </c>
      <c r="C3" s="31" t="s">
        <v>3</v>
      </c>
    </row>
    <row r="4" spans="2:5" ht="16.5" thickTop="1" thickBot="1" x14ac:dyDescent="0.3">
      <c r="B4" s="28" t="s">
        <v>0</v>
      </c>
      <c r="C4" s="29" t="s">
        <v>1</v>
      </c>
    </row>
    <row r="5" spans="2:5" ht="16.5" thickTop="1" thickBot="1" x14ac:dyDescent="0.3">
      <c r="B5" s="30" t="s">
        <v>4</v>
      </c>
      <c r="C5" s="30" t="s">
        <v>5</v>
      </c>
      <c r="D5" s="30" t="s">
        <v>12</v>
      </c>
      <c r="E5" s="30" t="s">
        <v>15</v>
      </c>
    </row>
    <row r="6" spans="2:5" ht="15.75" thickTop="1" x14ac:dyDescent="0.25">
      <c r="B6" s="16" t="s">
        <v>6</v>
      </c>
      <c r="C6" s="17" t="s">
        <v>7</v>
      </c>
      <c r="D6" s="17">
        <v>1</v>
      </c>
      <c r="E6" s="18">
        <v>1</v>
      </c>
    </row>
    <row r="7" spans="2:5" x14ac:dyDescent="0.25">
      <c r="B7" s="19" t="s">
        <v>10</v>
      </c>
      <c r="C7" s="20" t="s">
        <v>35</v>
      </c>
      <c r="D7" s="20">
        <v>1</v>
      </c>
      <c r="E7" s="21">
        <v>0</v>
      </c>
    </row>
    <row r="8" spans="2:5" x14ac:dyDescent="0.25">
      <c r="B8" s="22" t="s">
        <v>17</v>
      </c>
      <c r="C8" s="23" t="s">
        <v>30</v>
      </c>
      <c r="D8" s="23">
        <v>1</v>
      </c>
      <c r="E8" s="24">
        <v>1</v>
      </c>
    </row>
    <row r="9" spans="2:5" x14ac:dyDescent="0.25">
      <c r="B9" s="22" t="s">
        <v>9</v>
      </c>
      <c r="C9" s="23" t="s">
        <v>36</v>
      </c>
      <c r="D9" s="23">
        <v>2</v>
      </c>
      <c r="E9" s="24">
        <v>1</v>
      </c>
    </row>
    <row r="10" spans="2:5" x14ac:dyDescent="0.25">
      <c r="B10" s="25" t="s">
        <v>44</v>
      </c>
      <c r="C10" s="26" t="s">
        <v>45</v>
      </c>
      <c r="D10" s="26">
        <v>0</v>
      </c>
      <c r="E10" s="27">
        <v>0</v>
      </c>
    </row>
    <row r="11" spans="2:5" x14ac:dyDescent="0.25">
      <c r="B11" s="25" t="s">
        <v>39</v>
      </c>
      <c r="C11" s="26" t="s">
        <v>11</v>
      </c>
      <c r="D11" s="26">
        <v>0</v>
      </c>
      <c r="E11" s="27">
        <v>0</v>
      </c>
    </row>
    <row r="12" spans="2:5" x14ac:dyDescent="0.25">
      <c r="B12" s="25" t="s">
        <v>37</v>
      </c>
      <c r="C12" s="26" t="s">
        <v>91</v>
      </c>
      <c r="D12" s="26">
        <v>0</v>
      </c>
      <c r="E12" s="27">
        <v>0</v>
      </c>
    </row>
    <row r="13" spans="2:5" x14ac:dyDescent="0.25">
      <c r="B13" s="25" t="s">
        <v>38</v>
      </c>
      <c r="C13" s="26" t="s">
        <v>16</v>
      </c>
      <c r="D13" s="26">
        <v>0</v>
      </c>
      <c r="E13" s="27">
        <v>0</v>
      </c>
    </row>
    <row r="14" spans="2:5" x14ac:dyDescent="0.25">
      <c r="B14" s="25" t="s">
        <v>40</v>
      </c>
      <c r="C14" s="26" t="s">
        <v>41</v>
      </c>
      <c r="D14" s="26">
        <v>0</v>
      </c>
      <c r="E14" s="27">
        <v>0</v>
      </c>
    </row>
    <row r="15" spans="2:5" x14ac:dyDescent="0.25">
      <c r="B15" s="25" t="s">
        <v>42</v>
      </c>
      <c r="C15" s="26" t="s">
        <v>43</v>
      </c>
      <c r="D15" s="26">
        <v>0</v>
      </c>
      <c r="E15" s="27">
        <v>0</v>
      </c>
    </row>
    <row r="16" spans="2:5" x14ac:dyDescent="0.25">
      <c r="B16" s="25" t="s">
        <v>46</v>
      </c>
      <c r="C16" s="26" t="s">
        <v>47</v>
      </c>
      <c r="D16" s="26">
        <v>0</v>
      </c>
      <c r="E16" s="27">
        <v>0</v>
      </c>
    </row>
    <row r="17" spans="2:5" x14ac:dyDescent="0.25">
      <c r="B17" s="25" t="s">
        <v>90</v>
      </c>
      <c r="C17" s="26" t="s">
        <v>85</v>
      </c>
      <c r="D17" s="26">
        <v>0</v>
      </c>
      <c r="E17" s="27">
        <v>0</v>
      </c>
    </row>
    <row r="18" spans="2:5" x14ac:dyDescent="0.25">
      <c r="B18" s="7" t="s">
        <v>8</v>
      </c>
      <c r="C18" s="8" t="s">
        <v>33</v>
      </c>
      <c r="D18" s="8">
        <v>0</v>
      </c>
      <c r="E18" s="9">
        <v>1</v>
      </c>
    </row>
    <row r="19" spans="2:5" x14ac:dyDescent="0.25">
      <c r="B19" s="7" t="s">
        <v>31</v>
      </c>
      <c r="C19" s="8" t="s">
        <v>32</v>
      </c>
      <c r="D19" s="8">
        <v>0</v>
      </c>
      <c r="E19" s="9">
        <v>1</v>
      </c>
    </row>
    <row r="20" spans="2:5" ht="15.75" thickBot="1" x14ac:dyDescent="0.3">
      <c r="B20" s="10" t="s">
        <v>92</v>
      </c>
      <c r="C20" s="11" t="s">
        <v>34</v>
      </c>
      <c r="D20" s="11">
        <v>1</v>
      </c>
      <c r="E20" s="12">
        <v>1</v>
      </c>
    </row>
    <row r="21" spans="2:5" ht="16.5" thickTop="1" thickBot="1" x14ac:dyDescent="0.3">
      <c r="C21" s="5" t="s">
        <v>13</v>
      </c>
      <c r="D21" s="6">
        <f>SUM(D6:D19)</f>
        <v>5</v>
      </c>
    </row>
    <row r="22" spans="2:5" ht="16.5" thickTop="1" thickBot="1" x14ac:dyDescent="0.3">
      <c r="D22" s="1" t="s">
        <v>14</v>
      </c>
      <c r="E22" s="2">
        <f>SUM(E6:E21)</f>
        <v>6</v>
      </c>
    </row>
    <row r="23" spans="2:5" ht="15.75" thickTop="1" x14ac:dyDescent="0.25"/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B2F2-668A-4E29-B34A-1506874D8B93}">
  <dimension ref="B1:E4"/>
  <sheetViews>
    <sheetView workbookViewId="0">
      <selection activeCell="C4" sqref="C4"/>
    </sheetView>
  </sheetViews>
  <sheetFormatPr defaultRowHeight="15" x14ac:dyDescent="0.25"/>
  <cols>
    <col min="2" max="2" width="20" customWidth="1"/>
    <col min="3" max="3" width="29.140625" customWidth="1"/>
    <col min="4" max="4" width="27" customWidth="1"/>
    <col min="5" max="5" width="18.85546875" customWidth="1"/>
  </cols>
  <sheetData>
    <row r="1" spans="2:5" ht="15.75" thickBot="1" x14ac:dyDescent="0.3"/>
    <row r="2" spans="2:5" ht="17.25" thickTop="1" thickBot="1" x14ac:dyDescent="0.3">
      <c r="D2" s="41" t="s">
        <v>86</v>
      </c>
    </row>
    <row r="3" spans="2:5" ht="15.75" thickTop="1" x14ac:dyDescent="0.25"/>
    <row r="4" spans="2:5" x14ac:dyDescent="0.25">
      <c r="B4" t="s">
        <v>89</v>
      </c>
      <c r="D4" t="s">
        <v>87</v>
      </c>
      <c r="E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 Ovierview &amp; DHCP</vt:lpstr>
      <vt:lpstr>Node Details</vt:lpstr>
      <vt:lpstr>Lab DNS &amp; IP Assignments</vt:lpstr>
      <vt:lpstr>Core Network 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Fierstein</dc:creator>
  <cp:lastModifiedBy>Jonathan Fierstein</cp:lastModifiedBy>
  <dcterms:created xsi:type="dcterms:W3CDTF">2024-11-27T23:26:44Z</dcterms:created>
  <dcterms:modified xsi:type="dcterms:W3CDTF">2026-04-11T09:16:32Z</dcterms:modified>
</cp:coreProperties>
</file>