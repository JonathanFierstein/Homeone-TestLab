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FSO\Homeone-TestLab\"/>
    </mc:Choice>
  </mc:AlternateContent>
  <xr:revisionPtr revIDLastSave="0" documentId="13_ncr:1_{FA245B63-B8C7-4B42-9638-6407CD1D0883}" xr6:coauthVersionLast="47" xr6:coauthVersionMax="47" xr10:uidLastSave="{00000000-0000-0000-0000-000000000000}"/>
  <bookViews>
    <workbookView xWindow="43260" yWindow="2070" windowWidth="28770" windowHeight="1534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E20" i="1"/>
  <c r="D19" i="1"/>
</calcChain>
</file>

<file path=xl/sharedStrings.xml><?xml version="1.0" encoding="utf-8"?>
<sst xmlns="http://schemas.openxmlformats.org/spreadsheetml/2006/main" count="56" uniqueCount="55">
  <si>
    <t>Testlab Network:</t>
  </si>
  <si>
    <t>10.0.2.0/24</t>
  </si>
  <si>
    <t>Homeone Test Lab</t>
  </si>
  <si>
    <t>IP Address Assignments</t>
  </si>
  <si>
    <t>Network Node</t>
  </si>
  <si>
    <t>IP Address or Range</t>
  </si>
  <si>
    <t>Test Lab Router</t>
  </si>
  <si>
    <t>10.0.2.1</t>
  </si>
  <si>
    <t>Cisco SGE2000 24-Port Switch</t>
  </si>
  <si>
    <t>NebulonT-SV (Tyan12)</t>
  </si>
  <si>
    <t>NebulonT-BMC (Tyan12)</t>
  </si>
  <si>
    <t>10.0.2.155</t>
  </si>
  <si>
    <t>Switch Connections</t>
  </si>
  <si>
    <t>Total Ports Occupied</t>
  </si>
  <si>
    <t>Total Plugs Occupied</t>
  </si>
  <si>
    <t>Power Plugs Required</t>
  </si>
  <si>
    <t>10.0.2.168</t>
  </si>
  <si>
    <t>NewEnsign-WS</t>
  </si>
  <si>
    <t>IP Range By Color</t>
  </si>
  <si>
    <t>10.0.2.91 - 10.0.2.99</t>
  </si>
  <si>
    <t>10.0.2.2 - 10.0.2.20</t>
  </si>
  <si>
    <t>10.0.2.100 - 10.0.2.119</t>
  </si>
  <si>
    <t>Focus for This IP Range is:</t>
  </si>
  <si>
    <t>Router</t>
  </si>
  <si>
    <t>Guest DHCP Clients</t>
  </si>
  <si>
    <t>Reserved Address Space</t>
  </si>
  <si>
    <t>Non-Router Lab Network Devices</t>
  </si>
  <si>
    <t>Virtual Servers/WS (Static IP Provided by DHCP Reservation)</t>
  </si>
  <si>
    <t>Core Physical Servers/WS (Static IP Provided by DHCP Reservation)</t>
  </si>
  <si>
    <t>Physical Server Remote Management/IPMI Access</t>
  </si>
  <si>
    <t>10.0.2.100</t>
  </si>
  <si>
    <t>Festa 18-Port POE Switch</t>
  </si>
  <si>
    <t>10.0.2.253</t>
  </si>
  <si>
    <t>10.0.2.252</t>
  </si>
  <si>
    <t>10.0.2.254</t>
  </si>
  <si>
    <t>10.0.2.91</t>
  </si>
  <si>
    <t>10.0.2.102 - 10.0.2.104</t>
  </si>
  <si>
    <t>NebulonP-WSVM</t>
  </si>
  <si>
    <t>Remnux-WSVM</t>
  </si>
  <si>
    <t>WinTest-WSVM</t>
  </si>
  <si>
    <t>NebulonCon-SVVM</t>
  </si>
  <si>
    <t>10.0.2.180</t>
  </si>
  <si>
    <t>tlosint-WSVM</t>
  </si>
  <si>
    <t>10.0.2.181</t>
  </si>
  <si>
    <t>NebulonK-WSVM</t>
  </si>
  <si>
    <t>10.0.2.120</t>
  </si>
  <si>
    <t>NebulonD-SVVM</t>
  </si>
  <si>
    <t>10.0.2.182</t>
  </si>
  <si>
    <t>10.0.2.183</t>
  </si>
  <si>
    <t>Hole-RPSV PiHole (DNS Srv)</t>
  </si>
  <si>
    <t>10.0.2.21 - 10.0.2.90</t>
  </si>
  <si>
    <t>10.0.2.120 - 10.0.2.240</t>
  </si>
  <si>
    <t>10.0.2.241 - 10.0.2.254</t>
  </si>
  <si>
    <t>&lt;- Total IPs in Range</t>
  </si>
  <si>
    <t># of Hosts in IP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</si>
</sst>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2"/>
      <color rgb="FF00B05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gradientFill type="path" left="0.5" right="0.5" top="0.5" bottom="0.5">
        <stop position="0">
          <color theme="7" tint="0.59999389629810485"/>
        </stop>
        <stop position="1">
          <color theme="8" tint="0.80001220740379042"/>
        </stop>
      </gradientFill>
    </fill>
    <fill>
      <gradientFill degree="270">
        <stop position="0">
          <color theme="7" tint="0.59999389629810485"/>
        </stop>
        <stop position="1">
          <color theme="8" tint="0.80001220740379042"/>
        </stop>
      </gradientFill>
    </fill>
    <fill>
      <gradientFill degree="90">
        <stop position="0">
          <color theme="7" tint="0.59999389629810485"/>
        </stop>
        <stop position="1">
          <color theme="8" tint="0.59999389629810485"/>
        </stop>
      </gradientFill>
    </fill>
    <fill>
      <gradientFill type="path" left="0.5" right="0.5" top="0.5" bottom="0.5">
        <stop position="0">
          <color theme="7" tint="0.80001220740379042"/>
        </stop>
        <stop position="1">
          <color theme="8" tint="0.80001220740379042"/>
        </stop>
      </gradientFill>
    </fill>
    <fill>
      <gradientFill type="path" left="0.5" right="0.5" top="0.5" bottom="0.5">
        <stop position="0">
          <color theme="4" tint="0.80001220740379042"/>
        </stop>
        <stop position="1">
          <color theme="7"/>
        </stop>
      </gradient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8" xfId="0" applyFont="1" applyFill="1" applyBorder="1"/>
    <xf numFmtId="0" fontId="2" fillId="3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10" xfId="0" applyFill="1" applyBorder="1"/>
    <xf numFmtId="0" fontId="0" fillId="5" borderId="11" xfId="0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12" xfId="0" applyFill="1" applyBorder="1"/>
    <xf numFmtId="0" fontId="0" fillId="9" borderId="10" xfId="0" applyFill="1" applyBorder="1"/>
    <xf numFmtId="0" fontId="0" fillId="9" borderId="11" xfId="0" applyFill="1" applyBorder="1"/>
    <xf numFmtId="0" fontId="0" fillId="6" borderId="10" xfId="0" applyFill="1" applyBorder="1"/>
    <xf numFmtId="0" fontId="0" fillId="6" borderId="11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4" xfId="0" applyFill="1" applyBorder="1"/>
    <xf numFmtId="0" fontId="0" fillId="9" borderId="6" xfId="0" applyFill="1" applyBorder="1"/>
    <xf numFmtId="0" fontId="0" fillId="9" borderId="0" xfId="0" applyFill="1"/>
    <xf numFmtId="0" fontId="0" fillId="9" borderId="7" xfId="0" applyFill="1" applyBorder="1"/>
    <xf numFmtId="0" fontId="0" fillId="10" borderId="6" xfId="0" applyFill="1" applyBorder="1"/>
    <xf numFmtId="0" fontId="0" fillId="10" borderId="0" xfId="0" applyFill="1"/>
    <xf numFmtId="0" fontId="0" fillId="10" borderId="7" xfId="0" applyFill="1" applyBorder="1"/>
    <xf numFmtId="0" fontId="0" fillId="5" borderId="6" xfId="0" applyFill="1" applyBorder="1"/>
    <xf numFmtId="0" fontId="0" fillId="5" borderId="0" xfId="0" applyFill="1"/>
    <xf numFmtId="0" fontId="0" fillId="5" borderId="7" xfId="0" applyFill="1" applyBorder="1"/>
    <xf numFmtId="0" fontId="1" fillId="11" borderId="3" xfId="0" applyFont="1" applyFill="1" applyBorder="1"/>
    <xf numFmtId="0" fontId="1" fillId="11" borderId="4" xfId="0" applyFont="1" applyFill="1" applyBorder="1"/>
    <xf numFmtId="0" fontId="3" fillId="12" borderId="1" xfId="0" applyFont="1" applyFill="1" applyBorder="1"/>
    <xf numFmtId="0" fontId="4" fillId="13" borderId="2" xfId="0" applyFont="1" applyFill="1" applyBorder="1" applyAlignment="1">
      <alignment horizontal="center"/>
    </xf>
    <xf numFmtId="0" fontId="0" fillId="7" borderId="10" xfId="0" applyFill="1" applyBorder="1"/>
    <xf numFmtId="0" fontId="0" fillId="7" borderId="11" xfId="0" applyFill="1" applyBorder="1"/>
    <xf numFmtId="0" fontId="0" fillId="14" borderId="1" xfId="0" applyFill="1" applyBorder="1" applyAlignment="1">
      <alignment horizontal="center"/>
    </xf>
    <xf numFmtId="0" fontId="0" fillId="8" borderId="10" xfId="0" applyFill="1" applyBorder="1"/>
    <xf numFmtId="0" fontId="5" fillId="0" borderId="1" xfId="0" applyFont="1" applyBorder="1"/>
    <xf numFmtId="0" fontId="0" fillId="15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F3F"/>
      <color rgb="FFFF6161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D797-1037-4B44-A397-368C91E19BD7}">
  <dimension ref="B1:I21"/>
  <sheetViews>
    <sheetView tabSelected="1" zoomScaleNormal="60" zoomScaleSheetLayoutView="100" workbookViewId="0">
      <selection activeCell="G3" sqref="G3"/>
    </sheetView>
  </sheetViews>
  <sheetFormatPr defaultRowHeight="15" x14ac:dyDescent="0.25"/>
  <cols>
    <col min="1" max="1" width="7.42578125" customWidth="1"/>
    <col min="2" max="2" width="27.28515625" customWidth="1"/>
    <col min="3" max="3" width="24.5703125" customWidth="1"/>
    <col min="4" max="4" width="24.7109375" customWidth="1"/>
    <col min="5" max="5" width="23.140625" customWidth="1"/>
    <col min="7" max="7" width="20.28515625" customWidth="1"/>
    <col min="8" max="8" width="26.42578125" customWidth="1"/>
    <col min="9" max="9" width="60.85546875" customWidth="1"/>
  </cols>
  <sheetData>
    <row r="1" spans="2:9" ht="15.75" thickBot="1" x14ac:dyDescent="0.3"/>
    <row r="2" spans="2:9" ht="16.5" thickTop="1" thickBot="1" x14ac:dyDescent="0.3">
      <c r="B2" s="37" t="s">
        <v>2</v>
      </c>
      <c r="C2" s="37" t="s">
        <v>3</v>
      </c>
      <c r="G2" t="s">
        <v>54</v>
      </c>
      <c r="H2" s="40" t="s">
        <v>18</v>
      </c>
      <c r="I2" s="40" t="s">
        <v>22</v>
      </c>
    </row>
    <row r="3" spans="2:9" ht="16.5" thickTop="1" thickBot="1" x14ac:dyDescent="0.3">
      <c r="B3" s="34" t="s">
        <v>0</v>
      </c>
      <c r="C3" s="35" t="s">
        <v>1</v>
      </c>
      <c r="G3">
        <v>1</v>
      </c>
      <c r="H3" s="38" t="s">
        <v>7</v>
      </c>
      <c r="I3" s="39" t="s">
        <v>23</v>
      </c>
    </row>
    <row r="4" spans="2:9" ht="16.5" thickTop="1" thickBot="1" x14ac:dyDescent="0.3">
      <c r="B4" s="36" t="s">
        <v>4</v>
      </c>
      <c r="C4" s="36" t="s">
        <v>5</v>
      </c>
      <c r="D4" s="36" t="s">
        <v>12</v>
      </c>
      <c r="E4" s="36" t="s">
        <v>15</v>
      </c>
      <c r="G4">
        <v>18</v>
      </c>
      <c r="H4" s="20" t="s">
        <v>20</v>
      </c>
      <c r="I4" s="21" t="s">
        <v>25</v>
      </c>
    </row>
    <row r="5" spans="2:9" ht="15.75" thickTop="1" x14ac:dyDescent="0.25">
      <c r="B5" s="22" t="s">
        <v>6</v>
      </c>
      <c r="C5" s="23" t="s">
        <v>7</v>
      </c>
      <c r="D5" s="23">
        <v>1</v>
      </c>
      <c r="E5" s="24">
        <v>1</v>
      </c>
      <c r="G5">
        <v>69</v>
      </c>
      <c r="H5" s="3" t="s">
        <v>50</v>
      </c>
      <c r="I5" s="4" t="s">
        <v>24</v>
      </c>
    </row>
    <row r="6" spans="2:9" x14ac:dyDescent="0.25">
      <c r="B6" s="25" t="s">
        <v>10</v>
      </c>
      <c r="C6" s="26" t="s">
        <v>35</v>
      </c>
      <c r="D6" s="26">
        <v>1</v>
      </c>
      <c r="E6" s="27">
        <v>0</v>
      </c>
      <c r="G6">
        <v>8</v>
      </c>
      <c r="H6" s="18" t="s">
        <v>19</v>
      </c>
      <c r="I6" s="19" t="s">
        <v>29</v>
      </c>
    </row>
    <row r="7" spans="2:9" x14ac:dyDescent="0.25">
      <c r="B7" s="28" t="s">
        <v>17</v>
      </c>
      <c r="C7" s="29" t="s">
        <v>30</v>
      </c>
      <c r="D7" s="29">
        <v>1</v>
      </c>
      <c r="E7" s="30">
        <v>1</v>
      </c>
      <c r="G7">
        <v>19</v>
      </c>
      <c r="H7" s="5" t="s">
        <v>21</v>
      </c>
      <c r="I7" s="6" t="s">
        <v>28</v>
      </c>
    </row>
    <row r="8" spans="2:9" x14ac:dyDescent="0.25">
      <c r="B8" s="28" t="s">
        <v>9</v>
      </c>
      <c r="C8" s="29" t="s">
        <v>36</v>
      </c>
      <c r="D8" s="29">
        <v>2</v>
      </c>
      <c r="E8" s="30">
        <v>1</v>
      </c>
      <c r="G8">
        <v>120</v>
      </c>
      <c r="H8" s="7" t="s">
        <v>51</v>
      </c>
      <c r="I8" s="8" t="s">
        <v>27</v>
      </c>
    </row>
    <row r="9" spans="2:9" ht="15.75" thickBot="1" x14ac:dyDescent="0.3">
      <c r="B9" s="31" t="s">
        <v>44</v>
      </c>
      <c r="C9" s="32" t="s">
        <v>45</v>
      </c>
      <c r="D9" s="32">
        <v>0</v>
      </c>
      <c r="E9" s="33">
        <v>0</v>
      </c>
      <c r="G9">
        <v>13</v>
      </c>
      <c r="H9" s="41" t="s">
        <v>52</v>
      </c>
      <c r="I9" s="17" t="s">
        <v>26</v>
      </c>
    </row>
    <row r="10" spans="2:9" ht="17.25" thickTop="1" thickBot="1" x14ac:dyDescent="0.3">
      <c r="B10" s="31" t="s">
        <v>39</v>
      </c>
      <c r="C10" s="32" t="s">
        <v>11</v>
      </c>
      <c r="D10" s="32">
        <v>0</v>
      </c>
      <c r="E10" s="33">
        <v>0</v>
      </c>
      <c r="G10" s="42">
        <f>SUM(G3:G9)</f>
        <v>248</v>
      </c>
      <c r="H10" s="43" t="s">
        <v>53</v>
      </c>
    </row>
    <row r="11" spans="2:9" ht="15.75" thickTop="1" x14ac:dyDescent="0.25">
      <c r="B11" s="31" t="s">
        <v>38</v>
      </c>
      <c r="C11" s="32" t="s">
        <v>16</v>
      </c>
      <c r="D11" s="32">
        <v>0</v>
      </c>
      <c r="E11" s="33">
        <v>0</v>
      </c>
    </row>
    <row r="12" spans="2:9" x14ac:dyDescent="0.25">
      <c r="B12" s="31" t="s">
        <v>40</v>
      </c>
      <c r="C12" s="32" t="s">
        <v>41</v>
      </c>
      <c r="D12" s="32">
        <v>0</v>
      </c>
      <c r="E12" s="33">
        <v>0</v>
      </c>
    </row>
    <row r="13" spans="2:9" x14ac:dyDescent="0.25">
      <c r="B13" s="31" t="s">
        <v>42</v>
      </c>
      <c r="C13" s="32" t="s">
        <v>43</v>
      </c>
      <c r="D13" s="32">
        <v>0</v>
      </c>
      <c r="E13" s="33">
        <v>0</v>
      </c>
    </row>
    <row r="14" spans="2:9" x14ac:dyDescent="0.25">
      <c r="B14" s="31" t="s">
        <v>46</v>
      </c>
      <c r="C14" s="32" t="s">
        <v>47</v>
      </c>
      <c r="D14" s="32">
        <v>0</v>
      </c>
      <c r="E14" s="33">
        <v>0</v>
      </c>
    </row>
    <row r="15" spans="2:9" x14ac:dyDescent="0.25">
      <c r="B15" s="31" t="s">
        <v>37</v>
      </c>
      <c r="C15" s="32" t="s">
        <v>48</v>
      </c>
      <c r="D15" s="32">
        <v>0</v>
      </c>
      <c r="E15" s="33">
        <v>0</v>
      </c>
    </row>
    <row r="16" spans="2:9" x14ac:dyDescent="0.25">
      <c r="B16" s="11" t="s">
        <v>8</v>
      </c>
      <c r="C16" s="12" t="s">
        <v>33</v>
      </c>
      <c r="D16" s="12">
        <v>0</v>
      </c>
      <c r="E16" s="13">
        <v>1</v>
      </c>
    </row>
    <row r="17" spans="2:5" x14ac:dyDescent="0.25">
      <c r="B17" s="11" t="s">
        <v>31</v>
      </c>
      <c r="C17" s="12" t="s">
        <v>32</v>
      </c>
      <c r="D17" s="12">
        <v>0</v>
      </c>
      <c r="E17" s="13">
        <v>1</v>
      </c>
    </row>
    <row r="18" spans="2:5" ht="15.75" thickBot="1" x14ac:dyDescent="0.3">
      <c r="B18" s="14" t="s">
        <v>49</v>
      </c>
      <c r="C18" s="15" t="s">
        <v>34</v>
      </c>
      <c r="D18" s="15">
        <v>1</v>
      </c>
      <c r="E18" s="16">
        <v>1</v>
      </c>
    </row>
    <row r="19" spans="2:5" ht="16.5" thickTop="1" thickBot="1" x14ac:dyDescent="0.3">
      <c r="C19" s="9" t="s">
        <v>13</v>
      </c>
      <c r="D19" s="10">
        <f>SUM(D5:D17)</f>
        <v>5</v>
      </c>
    </row>
    <row r="20" spans="2:5" ht="16.5" thickTop="1" thickBot="1" x14ac:dyDescent="0.3">
      <c r="D20" s="1" t="s">
        <v>14</v>
      </c>
      <c r="E20" s="2">
        <f>SUM(E5:E19)</f>
        <v>6</v>
      </c>
    </row>
    <row r="21" spans="2:5" ht="15.75" thickTop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Fierstein</dc:creator>
  <cp:lastModifiedBy>Jonathan Fierstein</cp:lastModifiedBy>
  <dcterms:created xsi:type="dcterms:W3CDTF">2024-11-27T23:26:44Z</dcterms:created>
  <dcterms:modified xsi:type="dcterms:W3CDTF">2026-03-17T07:50:14Z</dcterms:modified>
</cp:coreProperties>
</file>